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ieharrison/Downloads/"/>
    </mc:Choice>
  </mc:AlternateContent>
  <xr:revisionPtr revIDLastSave="0" documentId="8_{E0B3DA0F-2302-3744-9922-261E3AF16B0B}" xr6:coauthVersionLast="47" xr6:coauthVersionMax="47" xr10:uidLastSave="{00000000-0000-0000-0000-000000000000}"/>
  <bookViews>
    <workbookView xWindow="35340" yWindow="1520" windowWidth="28040" windowHeight="16360" activeTab="1" xr2:uid="{F4258B40-FAE1-0E44-BEEC-B7CF250A167E}"/>
  </bookViews>
  <sheets>
    <sheet name="Client Info" sheetId="1" r:id="rId1"/>
    <sheet name="Market Data Results" sheetId="3" r:id="rId2"/>
    <sheet name="Market Context 2026Q1 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3" l="1"/>
  <c r="H10" i="3"/>
  <c r="H9" i="3"/>
  <c r="H8" i="3"/>
  <c r="H7" i="3"/>
  <c r="H6" i="3"/>
  <c r="H5" i="3"/>
  <c r="H4" i="3"/>
  <c r="H3" i="3"/>
  <c r="H2" i="3"/>
</calcChain>
</file>

<file path=xl/sharedStrings.xml><?xml version="1.0" encoding="utf-8"?>
<sst xmlns="http://schemas.openxmlformats.org/spreadsheetml/2006/main" count="44" uniqueCount="30">
  <si>
    <t>Date:</t>
  </si>
  <si>
    <t>Organisation Name:</t>
  </si>
  <si>
    <t>Industry:</t>
  </si>
  <si>
    <t>Number of Employees:</t>
  </si>
  <si>
    <t>February 2026 (Quarter 1 2026)</t>
  </si>
  <si>
    <t>Brighton Demo Technologies</t>
  </si>
  <si>
    <t>SaaS / Technology</t>
  </si>
  <si>
    <t>Number of Roles Assessed:</t>
  </si>
  <si>
    <t>Role Title</t>
  </si>
  <si>
    <t>Current FTE Salary</t>
  </si>
  <si>
    <t>Expected FTE Salary</t>
  </si>
  <si>
    <t>Experience Level</t>
  </si>
  <si>
    <t>Data Analyst</t>
  </si>
  <si>
    <t>Data Researcher</t>
  </si>
  <si>
    <t>Data Systems Engineer</t>
  </si>
  <si>
    <t>Data Manager</t>
  </si>
  <si>
    <t>Data Coordinator</t>
  </si>
  <si>
    <t>Product Owner</t>
  </si>
  <si>
    <t>Finance Director</t>
  </si>
  <si>
    <t>Management Accountant</t>
  </si>
  <si>
    <t>Commercial Director</t>
  </si>
  <si>
    <t>Managing Director</t>
  </si>
  <si>
    <t>Optional:</t>
  </si>
  <si>
    <t>Reccomendeed:</t>
  </si>
  <si>
    <t>Lower Quartile</t>
  </si>
  <si>
    <t>Median</t>
  </si>
  <si>
    <t>Upper Quartile</t>
  </si>
  <si>
    <t xml:space="preserve"> Salary Difference from FTE to  Median</t>
  </si>
  <si>
    <t>Analyst</t>
  </si>
  <si>
    <t>Experience Levels: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</si>
</sst>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&quot;£&quot;#,##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0"/>
      <name val="Aptos Display"/>
      <scheme val="major"/>
    </font>
    <font>
      <b/>
      <sz val="12"/>
      <color theme="0"/>
      <name val="Aptos Narrow"/>
      <scheme val="minor"/>
    </font>
    <font>
      <b/>
      <sz val="12"/>
      <color rgb="FF0070C0"/>
      <name val="Apto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170" fontId="0" fillId="0" borderId="0" xfId="0" applyNumberFormat="1"/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/>
    <xf numFmtId="0" fontId="6" fillId="2" borderId="0" xfId="0" applyFont="1" applyFill="1" applyAlignment="1">
      <alignment horizontal="center"/>
    </xf>
    <xf numFmtId="170" fontId="7" fillId="0" borderId="1" xfId="0" applyNumberFormat="1" applyFont="1" applyBorder="1" applyAlignment="1">
      <alignment horizontal="center"/>
    </xf>
    <xf numFmtId="170" fontId="7" fillId="0" borderId="1" xfId="0" applyNumberFormat="1" applyFont="1" applyFill="1" applyBorder="1" applyAlignment="1">
      <alignment horizontal="center"/>
    </xf>
    <xf numFmtId="170" fontId="7" fillId="0" borderId="2" xfId="0" applyNumberFormat="1" applyFont="1" applyFill="1" applyBorder="1" applyAlignment="1">
      <alignment horizontal="center"/>
    </xf>
    <xf numFmtId="170" fontId="7" fillId="0" borderId="3" xfId="0" applyNumberFormat="1" applyFont="1" applyBorder="1" applyAlignment="1">
      <alignment horizontal="center"/>
    </xf>
    <xf numFmtId="170" fontId="7" fillId="0" borderId="0" xfId="0" applyNumberFormat="1" applyFont="1" applyBorder="1" applyAlignment="1">
      <alignment horizont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D3E9-D858-C547-85A5-CA5D4737482D}">
  <dimension ref="A1:G22"/>
  <sheetViews>
    <sheetView workbookViewId="0">
      <selection activeCell="G9" sqref="G9"/>
    </sheetView>
  </sheetViews>
  <sheetFormatPr baseColWidth="10" defaultRowHeight="16" x14ac:dyDescent="0.2"/>
  <cols>
    <col min="1" max="1" width="27.6640625" customWidth="1"/>
    <col min="2" max="2" width="18.1640625" customWidth="1"/>
    <col min="3" max="3" width="18.33203125" customWidth="1"/>
    <col min="4" max="4" width="17.6640625" customWidth="1"/>
    <col min="5" max="5" width="16.5" customWidth="1"/>
    <col min="6" max="6" width="15.1640625" customWidth="1"/>
    <col min="7" max="7" width="17.1640625" customWidth="1"/>
    <col min="8" max="8" width="18.83203125" customWidth="1"/>
    <col min="9" max="9" width="23.1640625" customWidth="1"/>
  </cols>
  <sheetData>
    <row r="1" spans="1:7" x14ac:dyDescent="0.2">
      <c r="A1" s="2" t="s">
        <v>0</v>
      </c>
      <c r="B1" t="s">
        <v>4</v>
      </c>
    </row>
    <row r="2" spans="1:7" x14ac:dyDescent="0.2">
      <c r="A2" s="2" t="s">
        <v>1</v>
      </c>
      <c r="B2" t="s">
        <v>5</v>
      </c>
    </row>
    <row r="3" spans="1:7" x14ac:dyDescent="0.2">
      <c r="A3" s="2" t="s">
        <v>2</v>
      </c>
      <c r="B3" s="1" t="s">
        <v>6</v>
      </c>
    </row>
    <row r="4" spans="1:7" x14ac:dyDescent="0.2">
      <c r="A4" s="2" t="s">
        <v>3</v>
      </c>
      <c r="B4">
        <v>15</v>
      </c>
    </row>
    <row r="5" spans="1:7" x14ac:dyDescent="0.2">
      <c r="A5" s="2" t="s">
        <v>7</v>
      </c>
      <c r="B5">
        <v>15</v>
      </c>
    </row>
    <row r="6" spans="1:7" x14ac:dyDescent="0.2">
      <c r="A6" s="2"/>
    </row>
    <row r="7" spans="1:7" x14ac:dyDescent="0.2">
      <c r="B7" s="4" t="s">
        <v>22</v>
      </c>
      <c r="C7" s="4" t="s">
        <v>22</v>
      </c>
      <c r="D7" s="4" t="s">
        <v>23</v>
      </c>
    </row>
    <row r="8" spans="1:7" x14ac:dyDescent="0.2">
      <c r="A8" s="7" t="s">
        <v>8</v>
      </c>
      <c r="B8" s="7" t="s">
        <v>9</v>
      </c>
      <c r="C8" s="7" t="s">
        <v>10</v>
      </c>
      <c r="D8" s="7" t="s">
        <v>11</v>
      </c>
      <c r="G8" s="7" t="s">
        <v>29</v>
      </c>
    </row>
    <row r="9" spans="1:7" x14ac:dyDescent="0.2">
      <c r="A9" s="3" t="s">
        <v>12</v>
      </c>
      <c r="B9" s="5">
        <v>35000</v>
      </c>
      <c r="C9" s="5"/>
    </row>
    <row r="10" spans="1:7" x14ac:dyDescent="0.2">
      <c r="A10" s="3" t="s">
        <v>13</v>
      </c>
      <c r="B10" s="5">
        <v>24000</v>
      </c>
      <c r="C10" s="5">
        <v>25000</v>
      </c>
    </row>
    <row r="11" spans="1:7" x14ac:dyDescent="0.2">
      <c r="A11" s="3" t="s">
        <v>14</v>
      </c>
      <c r="B11" s="5">
        <v>47500</v>
      </c>
      <c r="C11" s="5"/>
    </row>
    <row r="12" spans="1:7" x14ac:dyDescent="0.2">
      <c r="A12" s="3" t="s">
        <v>15</v>
      </c>
      <c r="B12" s="5">
        <v>54600</v>
      </c>
      <c r="C12" s="5"/>
    </row>
    <row r="13" spans="1:7" x14ac:dyDescent="0.2">
      <c r="A13" s="3" t="s">
        <v>16</v>
      </c>
      <c r="B13" s="5">
        <v>27000</v>
      </c>
      <c r="C13" s="5"/>
    </row>
    <row r="14" spans="1:7" x14ac:dyDescent="0.2">
      <c r="A14" s="3" t="s">
        <v>17</v>
      </c>
      <c r="B14" s="5">
        <v>56000</v>
      </c>
      <c r="C14" s="5">
        <v>60000</v>
      </c>
    </row>
    <row r="15" spans="1:7" x14ac:dyDescent="0.2">
      <c r="A15" s="3" t="s">
        <v>18</v>
      </c>
      <c r="B15" s="5">
        <v>87000</v>
      </c>
      <c r="C15" s="5"/>
    </row>
    <row r="16" spans="1:7" x14ac:dyDescent="0.2">
      <c r="A16" s="3" t="s">
        <v>19</v>
      </c>
      <c r="B16" s="5">
        <v>44000</v>
      </c>
      <c r="C16" s="5"/>
    </row>
    <row r="17" spans="1:7" x14ac:dyDescent="0.2">
      <c r="A17" s="3" t="s">
        <v>20</v>
      </c>
      <c r="B17" s="5">
        <v>82000</v>
      </c>
      <c r="C17" s="5"/>
    </row>
    <row r="18" spans="1:7" x14ac:dyDescent="0.2">
      <c r="A18" s="3" t="s">
        <v>21</v>
      </c>
      <c r="B18" s="5">
        <v>110000</v>
      </c>
      <c r="C18" s="5"/>
    </row>
    <row r="21" spans="1:7" x14ac:dyDescent="0.2">
      <c r="B21" s="4"/>
      <c r="C21" s="4"/>
      <c r="D21" s="4"/>
    </row>
    <row r="22" spans="1:7" x14ac:dyDescent="0.2">
      <c r="E22" s="9"/>
      <c r="F22" s="9"/>
      <c r="G2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0CB27-D83D-6743-A1F9-A937BF3852EA}">
  <dimension ref="A1:H11"/>
  <sheetViews>
    <sheetView tabSelected="1" workbookViewId="0">
      <selection activeCell="B8" sqref="B8"/>
    </sheetView>
  </sheetViews>
  <sheetFormatPr baseColWidth="10" defaultRowHeight="16" x14ac:dyDescent="0.2"/>
  <cols>
    <col min="1" max="1" width="21.1640625" customWidth="1"/>
    <col min="2" max="2" width="18.5" customWidth="1"/>
    <col min="3" max="3" width="18.83203125" customWidth="1"/>
    <col min="4" max="4" width="17.83203125" customWidth="1"/>
    <col min="5" max="5" width="14.83203125" customWidth="1"/>
    <col min="7" max="7" width="16" customWidth="1"/>
    <col min="8" max="8" width="22.6640625" customWidth="1"/>
  </cols>
  <sheetData>
    <row r="1" spans="1:8" ht="32" x14ac:dyDescent="0.2">
      <c r="A1" s="8" t="s">
        <v>8</v>
      </c>
      <c r="B1" s="8" t="s">
        <v>9</v>
      </c>
      <c r="C1" s="8" t="s">
        <v>10</v>
      </c>
      <c r="D1" s="8" t="s">
        <v>11</v>
      </c>
      <c r="E1" s="8" t="s">
        <v>24</v>
      </c>
      <c r="F1" s="8" t="s">
        <v>25</v>
      </c>
      <c r="G1" s="8" t="s">
        <v>26</v>
      </c>
      <c r="H1" s="6" t="s">
        <v>27</v>
      </c>
    </row>
    <row r="2" spans="1:8" x14ac:dyDescent="0.2">
      <c r="A2" s="3" t="s">
        <v>28</v>
      </c>
      <c r="B2" s="5">
        <v>27000</v>
      </c>
      <c r="C2" s="5"/>
      <c r="E2" s="9">
        <v>27000</v>
      </c>
      <c r="F2" s="9">
        <v>29500</v>
      </c>
      <c r="G2" s="9">
        <v>33000</v>
      </c>
      <c r="H2" s="14">
        <f>(B2-F2)/B2</f>
        <v>-9.2592592592592587E-2</v>
      </c>
    </row>
    <row r="3" spans="1:8" x14ac:dyDescent="0.2">
      <c r="A3" s="3" t="s">
        <v>13</v>
      </c>
      <c r="B3" s="5">
        <v>24000</v>
      </c>
      <c r="C3" s="5">
        <v>25000</v>
      </c>
      <c r="E3" s="9">
        <v>22500</v>
      </c>
      <c r="F3" s="9">
        <v>23500</v>
      </c>
      <c r="G3" s="9">
        <v>24000</v>
      </c>
      <c r="H3" s="14">
        <f t="shared" ref="H3:H11" si="0">(B3-F3)/B3</f>
        <v>2.0833333333333332E-2</v>
      </c>
    </row>
    <row r="4" spans="1:8" x14ac:dyDescent="0.2">
      <c r="A4" s="3" t="s">
        <v>14</v>
      </c>
      <c r="B4" s="5">
        <v>47500</v>
      </c>
      <c r="C4" s="5"/>
      <c r="E4" s="9">
        <v>45000</v>
      </c>
      <c r="F4" s="9">
        <v>50000</v>
      </c>
      <c r="G4" s="9">
        <v>55000</v>
      </c>
      <c r="H4" s="14">
        <f t="shared" si="0"/>
        <v>-5.2631578947368418E-2</v>
      </c>
    </row>
    <row r="5" spans="1:8" x14ac:dyDescent="0.2">
      <c r="A5" s="3" t="s">
        <v>15</v>
      </c>
      <c r="B5" s="5">
        <v>54600</v>
      </c>
      <c r="C5" s="5"/>
      <c r="E5" s="9">
        <v>50000</v>
      </c>
      <c r="F5" s="9">
        <v>56000</v>
      </c>
      <c r="G5" s="9">
        <v>62000</v>
      </c>
      <c r="H5" s="14">
        <f t="shared" si="0"/>
        <v>-2.564102564102564E-2</v>
      </c>
    </row>
    <row r="6" spans="1:8" x14ac:dyDescent="0.2">
      <c r="A6" s="3" t="s">
        <v>16</v>
      </c>
      <c r="B6" s="5">
        <v>27000</v>
      </c>
      <c r="C6" s="5"/>
      <c r="E6" s="9">
        <v>25000</v>
      </c>
      <c r="F6" s="9">
        <v>27500</v>
      </c>
      <c r="G6" s="9">
        <v>30000</v>
      </c>
      <c r="H6" s="14">
        <f t="shared" si="0"/>
        <v>-1.8518518518518517E-2</v>
      </c>
    </row>
    <row r="7" spans="1:8" x14ac:dyDescent="0.2">
      <c r="A7" s="3" t="s">
        <v>17</v>
      </c>
      <c r="B7" s="5">
        <v>56000</v>
      </c>
      <c r="C7" s="5">
        <v>60000</v>
      </c>
      <c r="E7" s="10">
        <v>51000</v>
      </c>
      <c r="F7" s="10">
        <v>56000</v>
      </c>
      <c r="G7" s="10">
        <v>63000</v>
      </c>
      <c r="H7" s="14">
        <f t="shared" si="0"/>
        <v>0</v>
      </c>
    </row>
    <row r="8" spans="1:8" x14ac:dyDescent="0.2">
      <c r="A8" s="3" t="s">
        <v>18</v>
      </c>
      <c r="B8" s="5">
        <v>87000</v>
      </c>
      <c r="C8" s="5"/>
      <c r="E8" s="9">
        <v>78000</v>
      </c>
      <c r="F8" s="9">
        <v>86000</v>
      </c>
      <c r="G8" s="9">
        <v>94000</v>
      </c>
      <c r="H8" s="14">
        <f t="shared" si="0"/>
        <v>1.1494252873563218E-2</v>
      </c>
    </row>
    <row r="9" spans="1:8" x14ac:dyDescent="0.2">
      <c r="A9" s="3" t="s">
        <v>19</v>
      </c>
      <c r="B9" s="5">
        <v>44000</v>
      </c>
      <c r="C9" s="5"/>
      <c r="E9" s="11">
        <v>40000</v>
      </c>
      <c r="F9" s="11">
        <v>44000</v>
      </c>
      <c r="G9" s="11">
        <v>48000</v>
      </c>
      <c r="H9" s="14">
        <f t="shared" si="0"/>
        <v>0</v>
      </c>
    </row>
    <row r="10" spans="1:8" x14ac:dyDescent="0.2">
      <c r="A10" s="3" t="s">
        <v>20</v>
      </c>
      <c r="B10" s="5">
        <v>82000</v>
      </c>
      <c r="C10" s="5"/>
      <c r="E10" s="13">
        <v>72000</v>
      </c>
      <c r="F10" s="13">
        <v>80000</v>
      </c>
      <c r="G10" s="13">
        <v>89000</v>
      </c>
      <c r="H10" s="14">
        <f t="shared" si="0"/>
        <v>2.4390243902439025E-2</v>
      </c>
    </row>
    <row r="11" spans="1:8" x14ac:dyDescent="0.2">
      <c r="A11" s="3" t="s">
        <v>21</v>
      </c>
      <c r="B11" s="5">
        <v>110000</v>
      </c>
      <c r="C11" s="5"/>
      <c r="E11" s="12">
        <v>100000</v>
      </c>
      <c r="F11" s="12">
        <v>110000</v>
      </c>
      <c r="G11" s="12">
        <v>120000</v>
      </c>
      <c r="H11" s="14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3024-20BE-4A40-94C8-F1745C1360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Info</vt:lpstr>
      <vt:lpstr>Market Data Results</vt:lpstr>
      <vt:lpstr>Market Context 2026Q1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Millie Harrison</dc:creator>
  <cp:lastModifiedBy>Millie Harrison</cp:lastModifiedBy>
  <dcterms:created xsi:type="dcterms:W3CDTF">2026-02-11T10:16:52Z</dcterms:created>
  <dcterms:modified xsi:type="dcterms:W3CDTF">2026-02-11T15:39:23Z</dcterms:modified>
</cp:coreProperties>
</file>